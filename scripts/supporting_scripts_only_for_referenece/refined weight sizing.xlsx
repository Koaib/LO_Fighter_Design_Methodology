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ustedupk0-my.sharepoint.com/personal/zsaqib_99eccae_student_nust_edu_pk/Documents/"/>
    </mc:Choice>
  </mc:AlternateContent>
  <xr:revisionPtr revIDLastSave="534" documentId="8_{36032C86-ECEA-475C-AE57-CAB5181E3687}" xr6:coauthVersionLast="47" xr6:coauthVersionMax="47" xr10:uidLastSave="{773DAFFA-6C14-45C7-8353-B864893B544B}"/>
  <bookViews>
    <workbookView xWindow="-108" yWindow="-108" windowWidth="23256" windowHeight="12456" xr2:uid="{E4C9FEF6-AEAD-4662-98DD-9A32AF38BAF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K23" i="1"/>
  <c r="I23" i="1"/>
  <c r="I15" i="1"/>
  <c r="K15" i="1" s="1"/>
  <c r="H23" i="1"/>
  <c r="H19" i="1"/>
  <c r="H18" i="1"/>
  <c r="C16" i="1"/>
  <c r="I29" i="1"/>
  <c r="K29" i="1" s="1"/>
  <c r="K9" i="1"/>
  <c r="I16" i="1"/>
  <c r="K16" i="1" s="1"/>
  <c r="D4" i="1"/>
  <c r="F4" i="1" s="1"/>
  <c r="H16" i="1"/>
  <c r="H15" i="1"/>
  <c r="K22" i="1"/>
  <c r="K13" i="1"/>
  <c r="K12" i="1"/>
  <c r="K7" i="1"/>
  <c r="F15" i="1"/>
  <c r="F14" i="1"/>
  <c r="F13" i="1"/>
  <c r="F12" i="1"/>
  <c r="F11" i="1"/>
  <c r="F6" i="1"/>
  <c r="F5" i="1"/>
  <c r="C6" i="1"/>
  <c r="C5" i="1"/>
  <c r="C4" i="1"/>
  <c r="D27" i="1"/>
  <c r="F27" i="1" s="1"/>
  <c r="D26" i="1"/>
  <c r="F26" i="1" s="1"/>
  <c r="D25" i="1"/>
  <c r="F25" i="1" s="1"/>
  <c r="D24" i="1"/>
  <c r="F24" i="1" s="1"/>
  <c r="D23" i="1"/>
  <c r="F23" i="1" s="1"/>
  <c r="D20" i="1"/>
  <c r="F20" i="1" s="1"/>
  <c r="I25" i="1"/>
  <c r="K25" i="1" s="1"/>
  <c r="I22" i="1"/>
  <c r="I5" i="1"/>
  <c r="K5" i="1" s="1"/>
  <c r="I13" i="1"/>
  <c r="I12" i="1"/>
  <c r="I10" i="1"/>
  <c r="K10" i="1" s="1"/>
  <c r="I9" i="1"/>
  <c r="I7" i="1"/>
  <c r="I6" i="1"/>
  <c r="K6" i="1" s="1"/>
  <c r="I4" i="1"/>
  <c r="K4" i="1" s="1"/>
  <c r="E13" i="1"/>
  <c r="D13" i="1" s="1"/>
  <c r="D5" i="1"/>
  <c r="D6" i="1"/>
  <c r="D8" i="1"/>
  <c r="F8" i="1" s="1"/>
  <c r="D9" i="1"/>
  <c r="F9" i="1" s="1"/>
  <c r="D10" i="1"/>
  <c r="F10" i="1" s="1"/>
  <c r="D14" i="1"/>
  <c r="D15" i="1"/>
  <c r="E12" i="1"/>
  <c r="D12" i="1" s="1"/>
  <c r="H35" i="1" l="1"/>
  <c r="H37" i="1" s="1"/>
  <c r="H38" i="1" s="1"/>
</calcChain>
</file>

<file path=xl/sharedStrings.xml><?xml version="1.0" encoding="utf-8"?>
<sst xmlns="http://schemas.openxmlformats.org/spreadsheetml/2006/main" count="63" uniqueCount="62">
  <si>
    <t>weights( lbs)</t>
  </si>
  <si>
    <t>Loc (ft)</t>
  </si>
  <si>
    <t>Loc(m) Longitudinal</t>
  </si>
  <si>
    <t>moment(ft-lbs)</t>
  </si>
  <si>
    <t>Weight(lbs)</t>
  </si>
  <si>
    <t>loc (ft)</t>
  </si>
  <si>
    <t>loc(m)</t>
  </si>
  <si>
    <t>Structures</t>
  </si>
  <si>
    <t>Equipment</t>
  </si>
  <si>
    <t>wing</t>
  </si>
  <si>
    <t>flight controls</t>
  </si>
  <si>
    <t>horizontal tail</t>
  </si>
  <si>
    <t>APU (fuselage belly)</t>
  </si>
  <si>
    <t>vertical tail</t>
  </si>
  <si>
    <t>Insturments</t>
  </si>
  <si>
    <t>ventral tail</t>
  </si>
  <si>
    <t>hydraulics</t>
  </si>
  <si>
    <t>fuselage</t>
  </si>
  <si>
    <t>Pnuematics</t>
  </si>
  <si>
    <t>main landing gear</t>
  </si>
  <si>
    <t>Electrical</t>
  </si>
  <si>
    <t>nose landing gear</t>
  </si>
  <si>
    <t>Avionics</t>
  </si>
  <si>
    <t>other landing gear</t>
  </si>
  <si>
    <t>Armament</t>
  </si>
  <si>
    <t>engine mounts</t>
  </si>
  <si>
    <t>Furnishings</t>
  </si>
  <si>
    <t>firewall</t>
  </si>
  <si>
    <t>Air conditioning</t>
  </si>
  <si>
    <t>engine section</t>
  </si>
  <si>
    <t>Anti-icing</t>
  </si>
  <si>
    <t>air induction</t>
  </si>
  <si>
    <t>folding wing</t>
  </si>
  <si>
    <t>sum of empty weight without allowance</t>
  </si>
  <si>
    <t>tail hook</t>
  </si>
  <si>
    <t>Empty weight allowance</t>
  </si>
  <si>
    <t>Propulsion</t>
  </si>
  <si>
    <t>Total Weight Empty</t>
  </si>
  <si>
    <t>engines installed</t>
  </si>
  <si>
    <t>accessory drive</t>
  </si>
  <si>
    <t>Useful loads</t>
  </si>
  <si>
    <t>exhaust system</t>
  </si>
  <si>
    <t>crew</t>
  </si>
  <si>
    <t>engine cooling</t>
  </si>
  <si>
    <t>fuel-usable</t>
  </si>
  <si>
    <t>oil cooling</t>
  </si>
  <si>
    <t>fuel-trapped</t>
  </si>
  <si>
    <t>engine controls</t>
  </si>
  <si>
    <t>oil</t>
  </si>
  <si>
    <t>starter</t>
  </si>
  <si>
    <t>passengers</t>
  </si>
  <si>
    <t>fuel system/tanks</t>
  </si>
  <si>
    <t>cargo/payload</t>
  </si>
  <si>
    <t>guns</t>
  </si>
  <si>
    <t>ammunition</t>
  </si>
  <si>
    <t>mise useful load</t>
  </si>
  <si>
    <t>Takeoff Gross Weight</t>
  </si>
  <si>
    <t>Note: Nose is reference point (Nose X-coord is zero)</t>
  </si>
  <si>
    <t>sum of moments</t>
  </si>
  <si>
    <t>sum of weights</t>
  </si>
  <si>
    <t>Xcg in ft</t>
  </si>
  <si>
    <t>Xcg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</si>
</sst>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7BC0-121A-4C18-892F-B2D23107FB57}">
  <dimension ref="B1:N38"/>
  <sheetViews>
    <sheetView tabSelected="1" topLeftCell="A2" zoomScale="66" workbookViewId="0">
      <selection activeCell="N17" sqref="N17"/>
    </sheetView>
  </sheetViews>
  <sheetFormatPr defaultRowHeight="14.45"/>
  <cols>
    <col min="1" max="1" width="7.28515625" customWidth="1"/>
    <col min="2" max="2" width="15.7109375" customWidth="1"/>
    <col min="3" max="3" width="13.42578125" customWidth="1"/>
    <col min="4" max="4" width="10.28515625" customWidth="1"/>
    <col min="5" max="5" width="20.28515625" customWidth="1"/>
    <col min="6" max="6" width="20.5703125" customWidth="1"/>
    <col min="7" max="7" width="22.28515625" customWidth="1"/>
    <col min="8" max="8" width="13.85546875" customWidth="1"/>
    <col min="9" max="9" width="14" customWidth="1"/>
    <col min="11" max="11" width="14.42578125" customWidth="1"/>
    <col min="12" max="12" width="48.5703125" customWidth="1"/>
  </cols>
  <sheetData>
    <row r="1" spans="2:14" ht="18.600000000000001" customHeight="1"/>
    <row r="2" spans="2:14">
      <c r="B2" s="2"/>
      <c r="C2" s="2" t="s">
        <v>0</v>
      </c>
      <c r="D2" s="2" t="s">
        <v>1</v>
      </c>
      <c r="E2" s="2" t="s">
        <v>2</v>
      </c>
      <c r="F2" s="2" t="s">
        <v>3</v>
      </c>
      <c r="G2" s="2"/>
      <c r="H2" s="2" t="s">
        <v>4</v>
      </c>
      <c r="I2" s="2" t="s">
        <v>5</v>
      </c>
      <c r="J2" s="2" t="s">
        <v>6</v>
      </c>
      <c r="K2" s="2" t="s">
        <v>3</v>
      </c>
      <c r="N2" s="2"/>
    </row>
    <row r="3" spans="2:14">
      <c r="B3" s="1" t="s">
        <v>7</v>
      </c>
      <c r="C3" s="1"/>
      <c r="D3" s="1"/>
      <c r="E3" s="1"/>
      <c r="F3" s="1"/>
      <c r="G3" s="1" t="s">
        <v>8</v>
      </c>
      <c r="H3" s="1"/>
      <c r="I3" s="1"/>
      <c r="J3" s="1"/>
      <c r="K3" s="1"/>
    </row>
    <row r="4" spans="2:14">
      <c r="B4" t="s">
        <v>9</v>
      </c>
      <c r="C4">
        <f>642.834*3.28084*3.28084</f>
        <v>6919.4080316572699</v>
      </c>
      <c r="D4">
        <f>E4*3.28084</f>
        <v>42.942914760000001</v>
      </c>
      <c r="E4">
        <v>13.089</v>
      </c>
      <c r="F4">
        <f>C4*D4</f>
        <v>297139.54929311754</v>
      </c>
      <c r="G4" t="s">
        <v>10</v>
      </c>
      <c r="H4">
        <v>1324.18</v>
      </c>
      <c r="I4">
        <f>J4*3.28084</f>
        <v>22.965879999999999</v>
      </c>
      <c r="J4">
        <v>7</v>
      </c>
      <c r="K4">
        <f>H4*I4</f>
        <v>30410.958978399998</v>
      </c>
    </row>
    <row r="5" spans="2:14">
      <c r="B5" t="s">
        <v>11</v>
      </c>
      <c r="C5">
        <f>76.59212*3.28084*3.28084</f>
        <v>824.43077106944781</v>
      </c>
      <c r="D5">
        <f>E5*3.28084</f>
        <v>66.345146479999997</v>
      </c>
      <c r="E5">
        <v>20.222000000000001</v>
      </c>
      <c r="F5">
        <f>C5*D5</f>
        <v>54696.980269221858</v>
      </c>
      <c r="G5" t="s">
        <v>12</v>
      </c>
      <c r="H5">
        <v>150</v>
      </c>
      <c r="I5">
        <f>J5*3.28084</f>
        <v>42.650919999999999</v>
      </c>
      <c r="J5">
        <v>13</v>
      </c>
      <c r="K5">
        <f>H5*I5</f>
        <v>6397.6379999999999</v>
      </c>
    </row>
    <row r="6" spans="2:14">
      <c r="B6" t="s">
        <v>13</v>
      </c>
      <c r="C6">
        <f>100.9226*3.28084*3.28084</f>
        <v>1086.3218949460265</v>
      </c>
      <c r="D6">
        <f>E6*3.28084</f>
        <v>64.566275032000007</v>
      </c>
      <c r="E6">
        <v>19.6798</v>
      </c>
      <c r="F6">
        <f>C6*D6</f>
        <v>70139.758242368567</v>
      </c>
      <c r="G6" t="s">
        <v>14</v>
      </c>
      <c r="H6">
        <v>160.29</v>
      </c>
      <c r="I6">
        <f>J6*3.28084</f>
        <v>3.28084</v>
      </c>
      <c r="J6">
        <v>1</v>
      </c>
      <c r="K6">
        <f>H6*I6</f>
        <v>525.88584359999993</v>
      </c>
    </row>
    <row r="7" spans="2:14" ht="18.600000000000001" customHeight="1">
      <c r="B7" t="s">
        <v>15</v>
      </c>
      <c r="G7" t="s">
        <v>16</v>
      </c>
      <c r="H7">
        <v>194.32</v>
      </c>
      <c r="I7">
        <f>J7*3.28084</f>
        <v>22.965879999999999</v>
      </c>
      <c r="J7">
        <v>7</v>
      </c>
      <c r="K7">
        <f>H7*I7</f>
        <v>4462.7298015999995</v>
      </c>
    </row>
    <row r="8" spans="2:14" ht="17.45" customHeight="1">
      <c r="B8" t="s">
        <v>17</v>
      </c>
      <c r="C8">
        <v>13508.64</v>
      </c>
      <c r="D8">
        <f t="shared" ref="D8:D15" si="0">E8*3.28084</f>
        <v>29.658793599999996</v>
      </c>
      <c r="E8">
        <v>9.0399999999999991</v>
      </c>
      <c r="F8">
        <f>C8*D8</f>
        <v>400649.96557670395</v>
      </c>
      <c r="G8" t="s">
        <v>18</v>
      </c>
    </row>
    <row r="9" spans="2:14">
      <c r="B9" t="s">
        <v>19</v>
      </c>
      <c r="C9">
        <v>4447.47</v>
      </c>
      <c r="D9">
        <f t="shared" si="0"/>
        <v>42.650919999999999</v>
      </c>
      <c r="E9">
        <v>13</v>
      </c>
      <c r="F9">
        <f t="shared" ref="F9:F15" si="1">C9*D9</f>
        <v>189688.68717240001</v>
      </c>
      <c r="G9" t="s">
        <v>20</v>
      </c>
      <c r="H9">
        <v>640.39</v>
      </c>
      <c r="I9">
        <f>J9*3.28084</f>
        <v>19.685040000000001</v>
      </c>
      <c r="J9">
        <v>6</v>
      </c>
      <c r="K9">
        <f>H9*I9</f>
        <v>12606.102765600001</v>
      </c>
    </row>
    <row r="10" spans="2:14">
      <c r="B10" t="s">
        <v>21</v>
      </c>
      <c r="C10">
        <v>1001.33</v>
      </c>
      <c r="D10">
        <f t="shared" si="0"/>
        <v>11.482939999999999</v>
      </c>
      <c r="E10">
        <v>3.5</v>
      </c>
      <c r="F10">
        <f t="shared" si="1"/>
        <v>11498.212310200001</v>
      </c>
      <c r="G10" t="s">
        <v>22</v>
      </c>
      <c r="H10">
        <v>2500</v>
      </c>
      <c r="I10">
        <f>J10*3.28084</f>
        <v>3.28084</v>
      </c>
      <c r="J10">
        <v>1</v>
      </c>
      <c r="K10">
        <f>H10*I10</f>
        <v>8202.1</v>
      </c>
    </row>
    <row r="11" spans="2:14">
      <c r="B11" t="s">
        <v>23</v>
      </c>
      <c r="F11">
        <f t="shared" si="1"/>
        <v>0</v>
      </c>
      <c r="G11" t="s">
        <v>24</v>
      </c>
    </row>
    <row r="12" spans="2:14">
      <c r="B12" t="s">
        <v>25</v>
      </c>
      <c r="C12">
        <v>165.39</v>
      </c>
      <c r="D12">
        <f t="shared" si="0"/>
        <v>63.976379999999999</v>
      </c>
      <c r="E12">
        <f>(22+17)/2</f>
        <v>19.5</v>
      </c>
      <c r="F12">
        <f t="shared" si="1"/>
        <v>10581.053488199999</v>
      </c>
      <c r="G12" t="s">
        <v>26</v>
      </c>
      <c r="H12">
        <v>435.2</v>
      </c>
      <c r="I12">
        <f>J12*3.28084</f>
        <v>19.356956</v>
      </c>
      <c r="J12">
        <v>5.9</v>
      </c>
      <c r="K12">
        <f>H12*I12</f>
        <v>8424.1472512</v>
      </c>
    </row>
    <row r="13" spans="2:14">
      <c r="B13" t="s">
        <v>27</v>
      </c>
      <c r="C13">
        <v>32.75</v>
      </c>
      <c r="D13">
        <f t="shared" si="0"/>
        <v>63.976379999999999</v>
      </c>
      <c r="E13">
        <f>(22+17)/2</f>
        <v>19.5</v>
      </c>
      <c r="F13">
        <f t="shared" si="1"/>
        <v>2095.2264449999998</v>
      </c>
      <c r="G13" t="s">
        <v>28</v>
      </c>
      <c r="H13">
        <v>379.26</v>
      </c>
      <c r="I13">
        <f>J13*3.28084</f>
        <v>27.263780400000002</v>
      </c>
      <c r="J13">
        <v>8.31</v>
      </c>
      <c r="K13">
        <f>H13*I13</f>
        <v>10340.061354504</v>
      </c>
    </row>
    <row r="14" spans="2:14">
      <c r="B14" t="s">
        <v>29</v>
      </c>
      <c r="C14">
        <v>83.6</v>
      </c>
      <c r="D14">
        <f t="shared" si="0"/>
        <v>54.790028</v>
      </c>
      <c r="E14">
        <v>16.7</v>
      </c>
      <c r="F14">
        <f t="shared" si="1"/>
        <v>4580.4463407999992</v>
      </c>
      <c r="G14" t="s">
        <v>30</v>
      </c>
    </row>
    <row r="15" spans="2:14">
      <c r="B15" t="s">
        <v>31</v>
      </c>
      <c r="C15">
        <v>1554.17</v>
      </c>
      <c r="D15">
        <f t="shared" si="0"/>
        <v>23.74671992</v>
      </c>
      <c r="E15">
        <v>7.2380000000000004</v>
      </c>
      <c r="F15">
        <f t="shared" si="1"/>
        <v>36906.439698066402</v>
      </c>
      <c r="G15" t="s">
        <v>32</v>
      </c>
      <c r="H15">
        <f>(0.06*6919.408032)</f>
        <v>415.16448192000001</v>
      </c>
      <c r="I15">
        <f>J15*3.28084</f>
        <v>42.942914760000001</v>
      </c>
      <c r="J15">
        <v>13.089</v>
      </c>
      <c r="K15">
        <f>H15*I15</f>
        <v>17828.372958470121</v>
      </c>
    </row>
    <row r="16" spans="2:14">
      <c r="B16" t="s">
        <v>33</v>
      </c>
      <c r="C16">
        <f>C4+C5+C6+C8+C9+C10+C12+C13+C14+C15+C20+C23+C25+C24+C27+C26+H4+H5+H6+H7+H9+H10+H13+H12+H15+H16</f>
        <v>48289.186046952746</v>
      </c>
      <c r="G16" t="s">
        <v>34</v>
      </c>
      <c r="H16">
        <f>0.008*52055.10842</f>
        <v>416.44086735999997</v>
      </c>
      <c r="I16">
        <f>J16*3.28084</f>
        <v>65.616799999999998</v>
      </c>
      <c r="J16">
        <v>20</v>
      </c>
      <c r="K16">
        <f>H16*I16</f>
        <v>27325.517105387644</v>
      </c>
    </row>
    <row r="18" spans="2:11">
      <c r="G18" s="1" t="s">
        <v>35</v>
      </c>
      <c r="H18" s="1">
        <f>0.08*48289.18605</f>
        <v>3863.1348839999996</v>
      </c>
      <c r="I18" s="1"/>
      <c r="J18" s="1"/>
      <c r="K18" s="1"/>
    </row>
    <row r="19" spans="2:11">
      <c r="B19" s="1" t="s">
        <v>36</v>
      </c>
      <c r="C19" s="1"/>
      <c r="D19" s="1"/>
      <c r="E19" s="1"/>
      <c r="F19" s="1"/>
      <c r="G19" s="1" t="s">
        <v>37</v>
      </c>
      <c r="H19" s="1">
        <f>48289.18605+H18</f>
        <v>52152.320933999996</v>
      </c>
      <c r="I19" s="1"/>
      <c r="J19" s="1"/>
      <c r="K19" s="1"/>
    </row>
    <row r="20" spans="2:11">
      <c r="B20" t="s">
        <v>38</v>
      </c>
      <c r="C20">
        <v>8457.02</v>
      </c>
      <c r="D20">
        <f>E20*3.28084</f>
        <v>54.790028</v>
      </c>
      <c r="E20">
        <v>16.7</v>
      </c>
      <c r="F20">
        <f>C20*D20</f>
        <v>463360.36259656004</v>
      </c>
    </row>
    <row r="21" spans="2:11">
      <c r="B21" t="s">
        <v>39</v>
      </c>
      <c r="G21" s="1" t="s">
        <v>40</v>
      </c>
      <c r="H21" s="1"/>
      <c r="I21" s="1"/>
      <c r="J21" s="1"/>
      <c r="K21" s="1"/>
    </row>
    <row r="22" spans="2:11">
      <c r="B22" t="s">
        <v>41</v>
      </c>
      <c r="G22" t="s">
        <v>42</v>
      </c>
      <c r="H22">
        <v>400</v>
      </c>
      <c r="I22">
        <f>J22*3.28084</f>
        <v>12.12598464</v>
      </c>
      <c r="J22">
        <v>3.6960000000000002</v>
      </c>
      <c r="K22">
        <f>H22*I22</f>
        <v>4850.3938560000006</v>
      </c>
    </row>
    <row r="23" spans="2:11">
      <c r="B23" t="s">
        <v>43</v>
      </c>
      <c r="C23">
        <v>390.81</v>
      </c>
      <c r="D23">
        <f>E23*3.28084</f>
        <v>54.790028</v>
      </c>
      <c r="E23">
        <v>16.7</v>
      </c>
      <c r="F23">
        <f>C23*D23</f>
        <v>21412.490842679999</v>
      </c>
      <c r="G23" t="s">
        <v>44</v>
      </c>
      <c r="H23">
        <f>H31-H19</f>
        <v>22057.040216000001</v>
      </c>
      <c r="I23">
        <f>J23*3.28084</f>
        <v>29.527560000000001</v>
      </c>
      <c r="J23">
        <v>9</v>
      </c>
      <c r="K23">
        <f>H23*I23</f>
        <v>651290.57840035297</v>
      </c>
    </row>
    <row r="24" spans="2:11">
      <c r="B24" t="s">
        <v>45</v>
      </c>
      <c r="C24">
        <v>76.86</v>
      </c>
      <c r="D24">
        <f>E24*3.28084</f>
        <v>54.790028</v>
      </c>
      <c r="E24">
        <v>16.7</v>
      </c>
      <c r="F24">
        <f>C24*D24</f>
        <v>4211.1615520799996</v>
      </c>
      <c r="G24" t="s">
        <v>46</v>
      </c>
    </row>
    <row r="25" spans="2:11">
      <c r="B25" t="s">
        <v>47</v>
      </c>
      <c r="C25">
        <v>46.12</v>
      </c>
      <c r="D25">
        <f>E25*3.28084</f>
        <v>54.790028</v>
      </c>
      <c r="E25">
        <v>16.7</v>
      </c>
      <c r="F25">
        <f>C25*D25</f>
        <v>2526.9160913599999</v>
      </c>
      <c r="G25" t="s">
        <v>48</v>
      </c>
      <c r="H25">
        <v>50</v>
      </c>
      <c r="I25">
        <f>J25*3.28084</f>
        <v>22.965879999999999</v>
      </c>
      <c r="J25">
        <v>7</v>
      </c>
      <c r="K25">
        <f>H25*I25</f>
        <v>1148.2939999999999</v>
      </c>
    </row>
    <row r="26" spans="2:11">
      <c r="B26" t="s">
        <v>49</v>
      </c>
      <c r="C26">
        <v>131.53</v>
      </c>
      <c r="D26">
        <f>E26*3.28084</f>
        <v>44.488190400000001</v>
      </c>
      <c r="E26">
        <v>13.56</v>
      </c>
      <c r="F26">
        <f>C26*D26</f>
        <v>5851.5316833120005</v>
      </c>
      <c r="G26" t="s">
        <v>50</v>
      </c>
    </row>
    <row r="27" spans="2:11">
      <c r="B27" t="s">
        <v>51</v>
      </c>
      <c r="C27">
        <v>2948.09</v>
      </c>
      <c r="D27">
        <f>E27*3.28084</f>
        <v>29.527560000000001</v>
      </c>
      <c r="E27">
        <v>9</v>
      </c>
      <c r="F27">
        <f>C27*D27</f>
        <v>87049.904360400003</v>
      </c>
      <c r="G27" t="s">
        <v>52</v>
      </c>
    </row>
    <row r="28" spans="2:11">
      <c r="G28" t="s">
        <v>53</v>
      </c>
    </row>
    <row r="29" spans="2:11">
      <c r="G29" t="s">
        <v>54</v>
      </c>
      <c r="H29">
        <v>6876</v>
      </c>
      <c r="I29">
        <f>J29*3.28084</f>
        <v>29.527560000000001</v>
      </c>
      <c r="J29">
        <v>9</v>
      </c>
      <c r="K29">
        <f>H29*I29</f>
        <v>203031.50255999999</v>
      </c>
    </row>
    <row r="30" spans="2:11">
      <c r="G30" t="s">
        <v>55</v>
      </c>
    </row>
    <row r="31" spans="2:11">
      <c r="G31" s="1" t="s">
        <v>56</v>
      </c>
      <c r="H31" s="1">
        <v>74209.361149999997</v>
      </c>
      <c r="I31" s="1"/>
      <c r="J31" s="1"/>
      <c r="K31" s="1"/>
    </row>
    <row r="34" spans="3:8">
      <c r="C34" t="s">
        <v>57</v>
      </c>
    </row>
    <row r="35" spans="3:8">
      <c r="G35" t="s">
        <v>58</v>
      </c>
      <c r="H35">
        <f>F4+F5+F6+F8+F9+F10+F12+F13+F14+F15+F20+F23+F24+F25+F26+F27+K4+K5+K6+K7+K9+K10+K12+K13+K22+K25+K29+K15+K16+K23</f>
        <v>2649232.9688375853</v>
      </c>
    </row>
    <row r="36" spans="3:8">
      <c r="G36" t="s">
        <v>59</v>
      </c>
      <c r="H36">
        <f>C4+C5+C6+C8+C9+C10+C12+C13+C14+C15+H4+H5+H6+H7+H9+H10+H12+H13+H15+H16+C20+C23+C24+C25+C26+C27+H22+H25+H29+H23</f>
        <v>77672.226262952754</v>
      </c>
    </row>
    <row r="37" spans="3:8">
      <c r="G37" t="s">
        <v>60</v>
      </c>
      <c r="H37">
        <f>H35/H36</f>
        <v>34.107854200919014</v>
      </c>
    </row>
    <row r="38" spans="3:8">
      <c r="G38" t="s">
        <v>61</v>
      </c>
      <c r="H38">
        <f>H37/3.28084</f>
        <v>10.396073627765759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0D79-6F38-4BE9-A20A-6CFE784B445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Zukhruf Saqib</dc:creator>
  <cp:keywords/>
  <dc:description/>
  <cp:lastModifiedBy>Zukhruf Saqib</cp:lastModifiedBy>
  <cp:revision/>
  <dcterms:created xsi:type="dcterms:W3CDTF">2026-02-21T12:16:17Z</dcterms:created>
  <dcterms:modified xsi:type="dcterms:W3CDTF">2026-02-28T21:05:12Z</dcterms:modified>
  <cp:category/>
  <cp:contentStatus/>
</cp:coreProperties>
</file>